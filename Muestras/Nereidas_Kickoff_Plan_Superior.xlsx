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nzalo\Documents\Nereidas\Muestras\"/>
    </mc:Choice>
  </mc:AlternateContent>
  <xr:revisionPtr revIDLastSave="0" documentId="13_ncr:1_{21ADBAF0-D656-4E09-A859-0C2B44ADABA7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Instrucciones" sheetId="1" r:id="rId1"/>
    <sheet name="Accesos" sheetId="2" r:id="rId2"/>
    <sheet name="Checklist 30 días" sheetId="3" r:id="rId3"/>
    <sheet name="Banco de contenid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3" l="1"/>
  <c r="B14" i="2"/>
</calcChain>
</file>

<file path=xl/sharedStrings.xml><?xml version="1.0" encoding="utf-8"?>
<sst xmlns="http://schemas.openxmlformats.org/spreadsheetml/2006/main" count="220" uniqueCount="137">
  <si>
    <t>Nereidas Apart — Kickoff Plan Superior</t>
  </si>
  <si>
    <t>Accesos, checklist de implementación y banco de contenido</t>
  </si>
  <si>
    <t>Cómo usar este archivo</t>
  </si>
  <si>
    <t>1. Pestaña "Accesos" — enviar esta lista a los dueños de Nereidas y completar en las celdas amarillas a medida que llegan los datos.</t>
  </si>
  <si>
    <t>2. Pestaña "Checklist 30 días" — marcar el Estado de cada tarea a medida que se avanza.</t>
  </si>
  <si>
    <t>3. Pestaña "Banco de contenido" — usar como guía para pedir o recolectar fotos y videos, y armar el organigrama de publicaciones.</t>
  </si>
  <si>
    <t>Las celdas en amarillo son las que hay que completar. El resto ya viene armado.</t>
  </si>
  <si>
    <t>Accesos necesarios para empezar</t>
  </si>
  <si>
    <t>Enviar esta tabla a los dueños de Nereidas y completar a medida que se reciben los datos</t>
  </si>
  <si>
    <t>Plataforma</t>
  </si>
  <si>
    <t>Qué se necesita</t>
  </si>
  <si>
    <t>Usuario / Email</t>
  </si>
  <si>
    <t>Contraseña</t>
  </si>
  <si>
    <t>Permisos requeridos</t>
  </si>
  <si>
    <t>Quién lo provee</t>
  </si>
  <si>
    <t>Estado</t>
  </si>
  <si>
    <t>Notas</t>
  </si>
  <si>
    <t>Google My Business</t>
  </si>
  <si>
    <t>Acceso como Gerente o Propietario del perfil de la empresa</t>
  </si>
  <si>
    <t>Administrador</t>
  </si>
  <si>
    <t>Dueños de Nereidas</t>
  </si>
  <si>
    <t>Pendiente</t>
  </si>
  <si>
    <t>Permite actualizar fotos, horarios y responder reseñas</t>
  </si>
  <si>
    <t>Facebook (Página + Business Suite)</t>
  </si>
  <si>
    <t>Acceso de administrador a la página desde Meta Business Suite</t>
  </si>
  <si>
    <t>Necesario para publicar, programar contenido y ver estadísticas</t>
  </si>
  <si>
    <t>Instagram</t>
  </si>
  <si>
    <t>Cuenta profesional vinculada a la página de Facebook, acceso desde Meta Business Suite</t>
  </si>
  <si>
    <t>Si no está vinculada a Facebook, hay que vincularla primero</t>
  </si>
  <si>
    <t>WhatsApp Business</t>
  </si>
  <si>
    <t>Número y acceso a la cuenta (o API si se integra al CRM)</t>
  </si>
  <si>
    <t>Uso operativo</t>
  </si>
  <si>
    <t>Confirmar si se va a integrar al CRM de PXSOL</t>
  </si>
  <si>
    <t>Hosting de la web</t>
  </si>
  <si>
    <t>Acceso al panel de control (cPanel / Plesk) del hosting actual</t>
  </si>
  <si>
    <t>Proveedor de hosting actual</t>
  </si>
  <si>
    <t>Necesario para instalar el nuevo sitio</t>
  </si>
  <si>
    <t>Dominio</t>
  </si>
  <si>
    <t>Datos del registrador donde está registrado el dominio actual</t>
  </si>
  <si>
    <t>Administrador / DNS</t>
  </si>
  <si>
    <t>Necesario si el hosting cambia y hay que apuntar el dominio</t>
  </si>
  <si>
    <t>PXSOL</t>
  </si>
  <si>
    <t>Usuario administrador del sistema</t>
  </si>
  <si>
    <t>Para configurar PMS, CRM y motor de reservas</t>
  </si>
  <si>
    <t>Channel Manager (Booking / Airbnb)</t>
  </si>
  <si>
    <t>Acceso al extranet de cada plataforma, si ya están dados de alta</t>
  </si>
  <si>
    <t>Solo si se va a sincronizar tarifas y disponibilidad</t>
  </si>
  <si>
    <t>Accesos recibidos:</t>
  </si>
  <si>
    <t>Checklist de implementación — Plan Superior</t>
  </si>
  <si>
    <t>Tareas para poner en marcha redes, web e integraciones en los primeros 30 días</t>
  </si>
  <si>
    <t>Semana</t>
  </si>
  <si>
    <t>Tarea</t>
  </si>
  <si>
    <t>Responsable</t>
  </si>
  <si>
    <t>Semana 1</t>
  </si>
  <si>
    <t>Solicitar y recibir accesos (Google My Business, Facebook, Instagram, hosting, dominio, PXSOL)</t>
  </si>
  <si>
    <t>Gonzalo / Dueños</t>
  </si>
  <si>
    <t>Ver pestaña Accesos</t>
  </si>
  <si>
    <t>Recibir o coordinar sesión de fotos y videos de unidades y entorno</t>
  </si>
  <si>
    <t>Dueños</t>
  </si>
  <si>
    <t>Ver pestaña Banco de contenido</t>
  </si>
  <si>
    <t>Actualizar Google My Business (fotos, horarios, descripción)</t>
  </si>
  <si>
    <t>Gonzalo</t>
  </si>
  <si>
    <t>Publicar primera semana de contenido en Instagram y Facebook</t>
  </si>
  <si>
    <t>Semana 2</t>
  </si>
  <si>
    <t>Relevar contenido y estructura del sitio actual</t>
  </si>
  <si>
    <t>Definir wireframe / estructura del nuevo sitio</t>
  </si>
  <si>
    <t>Publicar segunda semana de contenido</t>
  </si>
  <si>
    <t>Semana 3</t>
  </si>
  <si>
    <t>Maquetar y cargar contenido del nuevo sitio web</t>
  </si>
  <si>
    <t>Configurar PXSOL: PMS y carga de unidades</t>
  </si>
  <si>
    <t>Gonzalo / PXSOL</t>
  </si>
  <si>
    <t>Publicar tercera semana de contenido</t>
  </si>
  <si>
    <t>Semana 4</t>
  </si>
  <si>
    <t>Configurar CRM y motor de reservas en PXSOL</t>
  </si>
  <si>
    <t>Conectar Channel Manager (si aplica) y probar reservas</t>
  </si>
  <si>
    <t>Publicar sitio nuevo en el dominio definitivo</t>
  </si>
  <si>
    <t>Publicar cuarta semana de contenido y cierre del mes</t>
  </si>
  <si>
    <t>Mes 2 en adelante</t>
  </si>
  <si>
    <t>Soporte mensual de redes sociales (5 meses según Plan Superior)</t>
  </si>
  <si>
    <t>Continúa con calendario editorial mensual</t>
  </si>
  <si>
    <t>Tareas completadas:</t>
  </si>
  <si>
    <t>Banco de contenido — fotos y videos</t>
  </si>
  <si>
    <t>Guía para pedir o recolectar el material y armar el organigrama de publicaciones</t>
  </si>
  <si>
    <t>Categoría</t>
  </si>
  <si>
    <t>Tipo</t>
  </si>
  <si>
    <t>Qué mostrar</t>
  </si>
  <si>
    <t>Formato sugerido</t>
  </si>
  <si>
    <t>Cantidad necesaria</t>
  </si>
  <si>
    <t>¿Ya existe?</t>
  </si>
  <si>
    <t>Semana de uso</t>
  </si>
  <si>
    <t>Unidades (Miel, Premium A/B, Familiar A/B)</t>
  </si>
  <si>
    <t>Foto</t>
  </si>
  <si>
    <t>Interior, cama, baño y detalles de cada unidad</t>
  </si>
  <si>
    <t>1:1 y 9:16</t>
  </si>
  <si>
    <t>No</t>
  </si>
  <si>
    <t>Entorno</t>
  </si>
  <si>
    <t>Playa, bosque y dunas cerca del apart</t>
  </si>
  <si>
    <t>8 a 10</t>
  </si>
  <si>
    <t>Semana 1 y 2</t>
  </si>
  <si>
    <t>Amenities</t>
  </si>
  <si>
    <t>Pileta, desayuno, parrilla individual, caja de seguridad, WiFi</t>
  </si>
  <si>
    <t>1:1</t>
  </si>
  <si>
    <t>6 a 8</t>
  </si>
  <si>
    <t>Recorrido en video</t>
  </si>
  <si>
    <t>Video</t>
  </si>
  <si>
    <t>Caminata mostrando unidades y entorno</t>
  </si>
  <si>
    <t>9:16, 30 a 60 seg</t>
  </si>
  <si>
    <t>2 videos</t>
  </si>
  <si>
    <t>Para los reels de bienvenida</t>
  </si>
  <si>
    <t>Detrás de escena</t>
  </si>
  <si>
    <t>Foto / Video</t>
  </si>
  <si>
    <t>Preparación del desayuno, limpieza, día a día</t>
  </si>
  <si>
    <t>9:16</t>
  </si>
  <si>
    <t>Contenido variado</t>
  </si>
  <si>
    <t>Semana 1 (historias)</t>
  </si>
  <si>
    <t>Experiencias cercanas</t>
  </si>
  <si>
    <t>Actividades, comercios y paseos de la zona</t>
  </si>
  <si>
    <t>4 a 6</t>
  </si>
  <si>
    <t>Testimonios de huéspedes</t>
  </si>
  <si>
    <t>Reseñas y comentarios reales, con permiso del huésped</t>
  </si>
  <si>
    <t>3 a 5</t>
  </si>
  <si>
    <t>Pedir reseñas en Google y Facebook</t>
  </si>
  <si>
    <t>Atardecer / paisaje</t>
  </si>
  <si>
    <t>Toma ambiente cálida para piezas gráficas</t>
  </si>
  <si>
    <t>3 a 4</t>
  </si>
  <si>
    <t>Semana 3 y 4</t>
  </si>
  <si>
    <t>Recap del mes</t>
  </si>
  <si>
    <t>Resumen editado con lo mejor del mes</t>
  </si>
  <si>
    <t>9:16, 30 a 45 seg</t>
  </si>
  <si>
    <t>1 video</t>
  </si>
  <si>
    <t>En curso</t>
  </si>
  <si>
    <t>Mínimo 3 por unidad (10 en total)</t>
  </si>
  <si>
    <t>2926nereidas</t>
  </si>
  <si>
    <t>apartnereidasadmlescano@gmail.com</t>
  </si>
  <si>
    <t>2926Tukyamy</t>
  </si>
  <si>
    <t>2926tukyamy</t>
  </si>
  <si>
    <t>Usuario: 2108130
Pass: Racing201071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</si>
</sst>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8"/>
      <color rgb="FF0B3D5C"/>
      <name val="Arial"/>
      <charset val="1"/>
    </font>
    <font>
      <i/>
      <sz val="10.5"/>
      <color rgb="FF5B6D76"/>
      <name val="Arial"/>
      <charset val="1"/>
    </font>
    <font>
      <b/>
      <sz val="10.5"/>
      <name val="Arial"/>
      <charset val="1"/>
    </font>
    <font>
      <sz val="10.5"/>
      <name val="Arial"/>
      <charset val="1"/>
    </font>
    <font>
      <b/>
      <sz val="16"/>
      <color rgb="FF0B3D5C"/>
      <name val="Arial"/>
      <charset val="1"/>
    </font>
    <font>
      <b/>
      <sz val="11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5C"/>
        <bgColor rgb="FF333333"/>
      </patternFill>
    </fill>
    <fill>
      <patternFill patternType="solid">
        <fgColor rgb="FFFFF2A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7" fillId="3" borderId="1" xfId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D76"/>
      <rgbColor rgb="FF969696"/>
      <rgbColor rgb="FF0B3D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partnereidasadmlescano@gmail.com" TargetMode="External"/><Relationship Id="rId2" Type="http://schemas.openxmlformats.org/officeDocument/2006/relationships/hyperlink" Target="mailto:apartnereidasadmlescano@gmail.com" TargetMode="External"/><Relationship Id="rId1" Type="http://schemas.openxmlformats.org/officeDocument/2006/relationships/hyperlink" Target="mailto:apartnereidasadmlescano@gmail.com" TargetMode="External"/><Relationship Id="rId4" Type="http://schemas.openxmlformats.org/officeDocument/2006/relationships/hyperlink" Target="mailto:apartnereidasadmlesca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100" customWidth="1"/>
  </cols>
  <sheetData>
    <row r="2" spans="2:2" ht="23.25" x14ac:dyDescent="0.3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 t="s">
        <v>4</v>
      </c>
    </row>
    <row r="8" spans="2:2" x14ac:dyDescent="0.25">
      <c r="B8" s="4" t="s">
        <v>5</v>
      </c>
    </row>
    <row r="9" spans="2:2" x14ac:dyDescent="0.25">
      <c r="B9" s="4"/>
    </row>
    <row r="10" spans="2:2" x14ac:dyDescent="0.25">
      <c r="B10" s="3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tabSelected="1" topLeftCell="A7" zoomScaleNormal="100" workbookViewId="0">
      <selection activeCell="C12" sqref="C12"/>
    </sheetView>
  </sheetViews>
  <sheetFormatPr baseColWidth="10" defaultColWidth="8.7109375" defaultRowHeight="15" x14ac:dyDescent="0.25"/>
  <cols>
    <col min="1" max="1" width="35.28515625" customWidth="1"/>
    <col min="2" max="2" width="43.42578125" bestFit="1" customWidth="1"/>
    <col min="3" max="3" width="36.5703125" customWidth="1"/>
    <col min="4" max="4" width="20.140625" customWidth="1"/>
    <col min="5" max="5" width="18" customWidth="1"/>
    <col min="6" max="6" width="22" customWidth="1"/>
    <col min="7" max="7" width="13" customWidth="1"/>
    <col min="8" max="8" width="40" customWidth="1"/>
  </cols>
  <sheetData>
    <row r="1" spans="1:8" ht="20.25" x14ac:dyDescent="0.3">
      <c r="A1" s="5" t="s">
        <v>7</v>
      </c>
    </row>
    <row r="2" spans="1:8" x14ac:dyDescent="0.25">
      <c r="A2" s="2" t="s">
        <v>8</v>
      </c>
    </row>
    <row r="4" spans="1:8" ht="30" x14ac:dyDescent="0.25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</row>
    <row r="5" spans="1:8" ht="39.75" customHeight="1" x14ac:dyDescent="0.25">
      <c r="A5" s="7" t="s">
        <v>17</v>
      </c>
      <c r="B5" s="7" t="s">
        <v>18</v>
      </c>
      <c r="C5" s="9" t="s">
        <v>133</v>
      </c>
      <c r="D5" s="8" t="s">
        <v>135</v>
      </c>
      <c r="E5" s="7" t="s">
        <v>19</v>
      </c>
      <c r="F5" s="7" t="s">
        <v>20</v>
      </c>
      <c r="G5" s="8" t="s">
        <v>21</v>
      </c>
      <c r="H5" s="7" t="s">
        <v>22</v>
      </c>
    </row>
    <row r="6" spans="1:8" ht="39.75" customHeight="1" x14ac:dyDescent="0.25">
      <c r="A6" s="7" t="s">
        <v>23</v>
      </c>
      <c r="B6" s="7" t="s">
        <v>24</v>
      </c>
      <c r="C6" s="9" t="s">
        <v>133</v>
      </c>
      <c r="D6" s="8" t="s">
        <v>134</v>
      </c>
      <c r="E6" s="7" t="s">
        <v>19</v>
      </c>
      <c r="F6" s="7" t="s">
        <v>20</v>
      </c>
      <c r="G6" s="8" t="s">
        <v>21</v>
      </c>
      <c r="H6" s="7" t="s">
        <v>25</v>
      </c>
    </row>
    <row r="7" spans="1:8" ht="39.75" customHeight="1" x14ac:dyDescent="0.25">
      <c r="A7" s="7" t="s">
        <v>26</v>
      </c>
      <c r="B7" s="7" t="s">
        <v>27</v>
      </c>
      <c r="C7" s="9" t="s">
        <v>133</v>
      </c>
      <c r="D7" s="8" t="s">
        <v>132</v>
      </c>
      <c r="E7" s="7" t="s">
        <v>19</v>
      </c>
      <c r="F7" s="7" t="s">
        <v>20</v>
      </c>
      <c r="G7" s="8" t="s">
        <v>21</v>
      </c>
      <c r="H7" s="7" t="s">
        <v>28</v>
      </c>
    </row>
    <row r="8" spans="1:8" ht="39.75" customHeight="1" x14ac:dyDescent="0.25">
      <c r="A8" s="7" t="s">
        <v>29</v>
      </c>
      <c r="B8" s="7" t="s">
        <v>30</v>
      </c>
      <c r="C8" s="8"/>
      <c r="D8" s="8"/>
      <c r="E8" s="7" t="s">
        <v>31</v>
      </c>
      <c r="F8" s="7" t="s">
        <v>20</v>
      </c>
      <c r="G8" s="8" t="s">
        <v>21</v>
      </c>
      <c r="H8" s="7" t="s">
        <v>32</v>
      </c>
    </row>
    <row r="9" spans="1:8" ht="39.75" customHeight="1" x14ac:dyDescent="0.25">
      <c r="A9" s="7" t="s">
        <v>33</v>
      </c>
      <c r="B9" s="7" t="s">
        <v>34</v>
      </c>
      <c r="C9" s="8"/>
      <c r="D9" s="8"/>
      <c r="E9" s="7" t="s">
        <v>19</v>
      </c>
      <c r="F9" s="7" t="s">
        <v>35</v>
      </c>
      <c r="G9" s="8" t="s">
        <v>21</v>
      </c>
      <c r="H9" s="7" t="s">
        <v>36</v>
      </c>
    </row>
    <row r="10" spans="1:8" ht="39.75" customHeight="1" x14ac:dyDescent="0.25">
      <c r="A10" s="7" t="s">
        <v>37</v>
      </c>
      <c r="B10" s="7" t="s">
        <v>38</v>
      </c>
      <c r="C10" s="8"/>
      <c r="D10" s="8"/>
      <c r="E10" s="7" t="s">
        <v>39</v>
      </c>
      <c r="F10" s="7" t="s">
        <v>20</v>
      </c>
      <c r="G10" s="8" t="s">
        <v>21</v>
      </c>
      <c r="H10" s="7" t="s">
        <v>40</v>
      </c>
    </row>
    <row r="11" spans="1:8" ht="39.75" customHeight="1" x14ac:dyDescent="0.25">
      <c r="A11" s="7" t="s">
        <v>41</v>
      </c>
      <c r="B11" s="7" t="s">
        <v>42</v>
      </c>
      <c r="C11" s="8"/>
      <c r="D11" s="8"/>
      <c r="E11" s="7" t="s">
        <v>19</v>
      </c>
      <c r="F11" s="7" t="s">
        <v>20</v>
      </c>
      <c r="G11" s="8" t="s">
        <v>21</v>
      </c>
      <c r="H11" s="7" t="s">
        <v>43</v>
      </c>
    </row>
    <row r="12" spans="1:8" ht="39.75" customHeight="1" x14ac:dyDescent="0.25">
      <c r="A12" s="7" t="s">
        <v>44</v>
      </c>
      <c r="B12" s="7" t="s">
        <v>45</v>
      </c>
      <c r="C12" s="9" t="s">
        <v>133</v>
      </c>
      <c r="D12" s="8" t="s">
        <v>136</v>
      </c>
      <c r="E12" s="7" t="s">
        <v>19</v>
      </c>
      <c r="F12" s="7" t="s">
        <v>20</v>
      </c>
      <c r="G12" s="8" t="s">
        <v>21</v>
      </c>
      <c r="H12" s="7" t="s">
        <v>46</v>
      </c>
    </row>
    <row r="14" spans="1:8" x14ac:dyDescent="0.25">
      <c r="A14" s="3" t="s">
        <v>47</v>
      </c>
      <c r="B14" s="3" t="str">
        <f>COUNTIF(G5:G12,"Recibido")&amp;" de "&amp;COUNTA(G5:G12)</f>
        <v>0 de 8</v>
      </c>
    </row>
  </sheetData>
  <dataValidations count="1">
    <dataValidation type="list" allowBlank="1" sqref="G5:G12" xr:uid="{00000000-0002-0000-0100-000000000000}">
      <formula1>"Pendiente,Solicitado,Recibido"</formula1>
      <formula2>0</formula2>
    </dataValidation>
  </dataValidations>
  <hyperlinks>
    <hyperlink ref="C6" r:id="rId1" xr:uid="{9BBE2768-3439-4093-99A4-BA44C08F2D0E}"/>
    <hyperlink ref="C5" r:id="rId2" xr:uid="{3D67A396-D503-494E-AC6B-CAADAB89D3CB}"/>
    <hyperlink ref="C12" r:id="rId3" xr:uid="{8F2F83A8-90A1-4D10-B67A-8234E7773724}"/>
    <hyperlink ref="C7" r:id="rId4" xr:uid="{52A51DBA-E4C3-411B-A5A4-3DDAEECA0177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zoomScaleNormal="100" workbookViewId="0">
      <selection activeCell="D19" sqref="D19"/>
    </sheetView>
  </sheetViews>
  <sheetFormatPr baseColWidth="10" defaultColWidth="8.7109375" defaultRowHeight="15" x14ac:dyDescent="0.25"/>
  <cols>
    <col min="1" max="1" width="16" customWidth="1"/>
    <col min="2" max="2" width="55" customWidth="1"/>
    <col min="3" max="3" width="20" customWidth="1"/>
    <col min="4" max="4" width="13" customWidth="1"/>
    <col min="5" max="5" width="30" customWidth="1"/>
  </cols>
  <sheetData>
    <row r="1" spans="1:5" ht="20.25" x14ac:dyDescent="0.3">
      <c r="A1" s="5" t="s">
        <v>48</v>
      </c>
    </row>
    <row r="2" spans="1:5" x14ac:dyDescent="0.25">
      <c r="A2" s="2" t="s">
        <v>49</v>
      </c>
    </row>
    <row r="4" spans="1:5" x14ac:dyDescent="0.25">
      <c r="A4" s="6" t="s">
        <v>50</v>
      </c>
      <c r="B4" s="6" t="s">
        <v>51</v>
      </c>
      <c r="C4" s="6" t="s">
        <v>52</v>
      </c>
      <c r="D4" s="6" t="s">
        <v>15</v>
      </c>
      <c r="E4" s="6" t="s">
        <v>16</v>
      </c>
    </row>
    <row r="5" spans="1:5" ht="31.5" customHeight="1" x14ac:dyDescent="0.25">
      <c r="A5" s="7" t="s">
        <v>53</v>
      </c>
      <c r="B5" s="7" t="s">
        <v>54</v>
      </c>
      <c r="C5" s="7" t="s">
        <v>55</v>
      </c>
      <c r="D5" s="8" t="s">
        <v>21</v>
      </c>
      <c r="E5" s="7" t="s">
        <v>56</v>
      </c>
    </row>
    <row r="6" spans="1:5" ht="31.5" customHeight="1" x14ac:dyDescent="0.25">
      <c r="A6" s="7" t="s">
        <v>53</v>
      </c>
      <c r="B6" s="7" t="s">
        <v>57</v>
      </c>
      <c r="C6" s="7" t="s">
        <v>58</v>
      </c>
      <c r="D6" s="8" t="s">
        <v>21</v>
      </c>
      <c r="E6" s="7" t="s">
        <v>59</v>
      </c>
    </row>
    <row r="7" spans="1:5" ht="31.5" customHeight="1" x14ac:dyDescent="0.25">
      <c r="A7" s="7" t="s">
        <v>53</v>
      </c>
      <c r="B7" s="7" t="s">
        <v>60</v>
      </c>
      <c r="C7" s="7" t="s">
        <v>61</v>
      </c>
      <c r="D7" s="8" t="s">
        <v>21</v>
      </c>
      <c r="E7" s="7"/>
    </row>
    <row r="8" spans="1:5" ht="31.5" customHeight="1" x14ac:dyDescent="0.25">
      <c r="A8" s="7" t="s">
        <v>53</v>
      </c>
      <c r="B8" s="7" t="s">
        <v>62</v>
      </c>
      <c r="C8" s="7" t="s">
        <v>61</v>
      </c>
      <c r="D8" s="8" t="s">
        <v>21</v>
      </c>
      <c r="E8" s="7"/>
    </row>
    <row r="9" spans="1:5" ht="31.5" customHeight="1" x14ac:dyDescent="0.25">
      <c r="A9" s="7" t="s">
        <v>63</v>
      </c>
      <c r="B9" s="7" t="s">
        <v>64</v>
      </c>
      <c r="C9" s="7" t="s">
        <v>61</v>
      </c>
      <c r="D9" s="8" t="s">
        <v>21</v>
      </c>
      <c r="E9" s="7"/>
    </row>
    <row r="10" spans="1:5" ht="31.5" customHeight="1" x14ac:dyDescent="0.25">
      <c r="A10" s="7" t="s">
        <v>63</v>
      </c>
      <c r="B10" s="7" t="s">
        <v>65</v>
      </c>
      <c r="C10" s="7" t="s">
        <v>61</v>
      </c>
      <c r="D10" s="8" t="s">
        <v>130</v>
      </c>
      <c r="E10" s="7"/>
    </row>
    <row r="11" spans="1:5" ht="31.5" customHeight="1" x14ac:dyDescent="0.25">
      <c r="A11" s="7" t="s">
        <v>63</v>
      </c>
      <c r="B11" s="7" t="s">
        <v>66</v>
      </c>
      <c r="C11" s="7" t="s">
        <v>61</v>
      </c>
      <c r="D11" s="8" t="s">
        <v>21</v>
      </c>
      <c r="E11" s="7"/>
    </row>
    <row r="12" spans="1:5" ht="31.5" customHeight="1" x14ac:dyDescent="0.25">
      <c r="A12" s="7" t="s">
        <v>67</v>
      </c>
      <c r="B12" s="7" t="s">
        <v>68</v>
      </c>
      <c r="C12" s="7" t="s">
        <v>61</v>
      </c>
      <c r="D12" s="8" t="s">
        <v>130</v>
      </c>
      <c r="E12" s="7"/>
    </row>
    <row r="13" spans="1:5" ht="31.5" customHeight="1" x14ac:dyDescent="0.25">
      <c r="A13" s="7" t="s">
        <v>67</v>
      </c>
      <c r="B13" s="7" t="s">
        <v>69</v>
      </c>
      <c r="C13" s="7" t="s">
        <v>70</v>
      </c>
      <c r="D13" s="8" t="s">
        <v>21</v>
      </c>
      <c r="E13" s="7"/>
    </row>
    <row r="14" spans="1:5" ht="31.5" customHeight="1" x14ac:dyDescent="0.25">
      <c r="A14" s="7" t="s">
        <v>67</v>
      </c>
      <c r="B14" s="7" t="s">
        <v>71</v>
      </c>
      <c r="C14" s="7" t="s">
        <v>61</v>
      </c>
      <c r="D14" s="8" t="s">
        <v>21</v>
      </c>
      <c r="E14" s="7"/>
    </row>
    <row r="15" spans="1:5" ht="31.5" customHeight="1" x14ac:dyDescent="0.25">
      <c r="A15" s="7" t="s">
        <v>72</v>
      </c>
      <c r="B15" s="7" t="s">
        <v>73</v>
      </c>
      <c r="C15" s="7" t="s">
        <v>70</v>
      </c>
      <c r="D15" s="8" t="s">
        <v>21</v>
      </c>
      <c r="E15" s="7"/>
    </row>
    <row r="16" spans="1:5" ht="31.5" customHeight="1" x14ac:dyDescent="0.25">
      <c r="A16" s="7" t="s">
        <v>72</v>
      </c>
      <c r="B16" s="7" t="s">
        <v>74</v>
      </c>
      <c r="C16" s="7" t="s">
        <v>70</v>
      </c>
      <c r="D16" s="8" t="s">
        <v>21</v>
      </c>
      <c r="E16" s="7"/>
    </row>
    <row r="17" spans="1:5" ht="31.5" customHeight="1" x14ac:dyDescent="0.25">
      <c r="A17" s="7" t="s">
        <v>72</v>
      </c>
      <c r="B17" s="7" t="s">
        <v>75</v>
      </c>
      <c r="C17" s="7" t="s">
        <v>61</v>
      </c>
      <c r="D17" s="8" t="s">
        <v>21</v>
      </c>
      <c r="E17" s="7"/>
    </row>
    <row r="18" spans="1:5" ht="31.5" customHeight="1" x14ac:dyDescent="0.25">
      <c r="A18" s="7" t="s">
        <v>72</v>
      </c>
      <c r="B18" s="7" t="s">
        <v>76</v>
      </c>
      <c r="C18" s="7" t="s">
        <v>61</v>
      </c>
      <c r="D18" s="8" t="s">
        <v>21</v>
      </c>
      <c r="E18" s="7"/>
    </row>
    <row r="19" spans="1:5" ht="31.5" customHeight="1" x14ac:dyDescent="0.25">
      <c r="A19" s="7" t="s">
        <v>77</v>
      </c>
      <c r="B19" s="7" t="s">
        <v>78</v>
      </c>
      <c r="C19" s="7" t="s">
        <v>61</v>
      </c>
      <c r="D19" s="8" t="s">
        <v>21</v>
      </c>
      <c r="E19" s="7" t="s">
        <v>79</v>
      </c>
    </row>
    <row r="21" spans="1:5" x14ac:dyDescent="0.25">
      <c r="A21" s="3" t="s">
        <v>80</v>
      </c>
      <c r="B21" s="3" t="str">
        <f>COUNTIF(D5:D19,"Hecho")&amp;" de "&amp;COUNTA(D5:D19)</f>
        <v>0 de 15</v>
      </c>
    </row>
  </sheetData>
  <dataValidations count="1">
    <dataValidation type="list" allowBlank="1" sqref="D5:D19" xr:uid="{00000000-0002-0000-0200-000000000000}">
      <formula1>"Pendiente,En curso,Hecho"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>
      <selection activeCell="E6" sqref="E6"/>
    </sheetView>
  </sheetViews>
  <sheetFormatPr baseColWidth="10" defaultColWidth="8.7109375" defaultRowHeight="15" x14ac:dyDescent="0.25"/>
  <cols>
    <col min="1" max="1" width="30" customWidth="1"/>
    <col min="2" max="2" width="14" customWidth="1"/>
    <col min="3" max="3" width="42" customWidth="1"/>
    <col min="4" max="4" width="18" customWidth="1"/>
    <col min="5" max="5" width="22" customWidth="1"/>
    <col min="6" max="6" width="12" customWidth="1"/>
    <col min="7" max="7" width="16" customWidth="1"/>
    <col min="8" max="8" width="30" customWidth="1"/>
  </cols>
  <sheetData>
    <row r="1" spans="1:8" ht="20.25" x14ac:dyDescent="0.3">
      <c r="A1" s="5" t="s">
        <v>81</v>
      </c>
    </row>
    <row r="2" spans="1:8" x14ac:dyDescent="0.25">
      <c r="A2" s="2" t="s">
        <v>82</v>
      </c>
    </row>
    <row r="4" spans="1:8" ht="30" x14ac:dyDescent="0.25">
      <c r="A4" s="6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88</v>
      </c>
      <c r="G4" s="6" t="s">
        <v>89</v>
      </c>
      <c r="H4" s="6" t="s">
        <v>16</v>
      </c>
    </row>
    <row r="5" spans="1:8" ht="36" customHeight="1" x14ac:dyDescent="0.25">
      <c r="A5" s="7" t="s">
        <v>90</v>
      </c>
      <c r="B5" s="7" t="s">
        <v>91</v>
      </c>
      <c r="C5" s="7" t="s">
        <v>92</v>
      </c>
      <c r="D5" s="7" t="s">
        <v>93</v>
      </c>
      <c r="E5" s="7" t="s">
        <v>131</v>
      </c>
      <c r="F5" s="8" t="s">
        <v>94</v>
      </c>
      <c r="G5" s="7" t="s">
        <v>53</v>
      </c>
      <c r="H5" s="7"/>
    </row>
    <row r="6" spans="1:8" ht="36" customHeight="1" x14ac:dyDescent="0.25">
      <c r="A6" s="7" t="s">
        <v>95</v>
      </c>
      <c r="B6" s="7" t="s">
        <v>91</v>
      </c>
      <c r="C6" s="7" t="s">
        <v>96</v>
      </c>
      <c r="D6" s="7" t="s">
        <v>93</v>
      </c>
      <c r="E6" s="7" t="s">
        <v>97</v>
      </c>
      <c r="F6" s="8" t="s">
        <v>94</v>
      </c>
      <c r="G6" s="7" t="s">
        <v>98</v>
      </c>
      <c r="H6" s="7"/>
    </row>
    <row r="7" spans="1:8" ht="36" customHeight="1" x14ac:dyDescent="0.25">
      <c r="A7" s="7" t="s">
        <v>99</v>
      </c>
      <c r="B7" s="7" t="s">
        <v>91</v>
      </c>
      <c r="C7" s="7" t="s">
        <v>100</v>
      </c>
      <c r="D7" s="7" t="s">
        <v>101</v>
      </c>
      <c r="E7" s="7" t="s">
        <v>102</v>
      </c>
      <c r="F7" s="8" t="s">
        <v>94</v>
      </c>
      <c r="G7" s="7" t="s">
        <v>53</v>
      </c>
      <c r="H7" s="7"/>
    </row>
    <row r="8" spans="1:8" ht="36" customHeight="1" x14ac:dyDescent="0.25">
      <c r="A8" s="7" t="s">
        <v>103</v>
      </c>
      <c r="B8" s="7" t="s">
        <v>104</v>
      </c>
      <c r="C8" s="7" t="s">
        <v>105</v>
      </c>
      <c r="D8" s="7" t="s">
        <v>106</v>
      </c>
      <c r="E8" s="7" t="s">
        <v>107</v>
      </c>
      <c r="F8" s="8" t="s">
        <v>94</v>
      </c>
      <c r="G8" s="7" t="s">
        <v>53</v>
      </c>
      <c r="H8" s="7" t="s">
        <v>108</v>
      </c>
    </row>
    <row r="9" spans="1:8" ht="36" customHeight="1" x14ac:dyDescent="0.25">
      <c r="A9" s="7" t="s">
        <v>109</v>
      </c>
      <c r="B9" s="7" t="s">
        <v>110</v>
      </c>
      <c r="C9" s="7" t="s">
        <v>111</v>
      </c>
      <c r="D9" s="7" t="s">
        <v>112</v>
      </c>
      <c r="E9" s="7" t="s">
        <v>113</v>
      </c>
      <c r="F9" s="8" t="s">
        <v>94</v>
      </c>
      <c r="G9" s="7" t="s">
        <v>114</v>
      </c>
      <c r="H9" s="7"/>
    </row>
    <row r="10" spans="1:8" ht="36" customHeight="1" x14ac:dyDescent="0.25">
      <c r="A10" s="7" t="s">
        <v>115</v>
      </c>
      <c r="B10" s="7" t="s">
        <v>110</v>
      </c>
      <c r="C10" s="7" t="s">
        <v>116</v>
      </c>
      <c r="D10" s="7" t="s">
        <v>93</v>
      </c>
      <c r="E10" s="7" t="s">
        <v>117</v>
      </c>
      <c r="F10" s="8" t="s">
        <v>94</v>
      </c>
      <c r="G10" s="7" t="s">
        <v>63</v>
      </c>
      <c r="H10" s="7"/>
    </row>
    <row r="11" spans="1:8" ht="36" customHeight="1" x14ac:dyDescent="0.25">
      <c r="A11" s="7" t="s">
        <v>118</v>
      </c>
      <c r="B11" s="7" t="s">
        <v>110</v>
      </c>
      <c r="C11" s="7" t="s">
        <v>119</v>
      </c>
      <c r="D11" s="7" t="s">
        <v>93</v>
      </c>
      <c r="E11" s="7" t="s">
        <v>120</v>
      </c>
      <c r="F11" s="8" t="s">
        <v>94</v>
      </c>
      <c r="G11" s="7" t="s">
        <v>67</v>
      </c>
      <c r="H11" s="7" t="s">
        <v>121</v>
      </c>
    </row>
    <row r="12" spans="1:8" ht="36" customHeight="1" x14ac:dyDescent="0.25">
      <c r="A12" s="7" t="s">
        <v>122</v>
      </c>
      <c r="B12" s="7" t="s">
        <v>91</v>
      </c>
      <c r="C12" s="7" t="s">
        <v>123</v>
      </c>
      <c r="D12" s="7" t="s">
        <v>101</v>
      </c>
      <c r="E12" s="7" t="s">
        <v>124</v>
      </c>
      <c r="F12" s="8" t="s">
        <v>94</v>
      </c>
      <c r="G12" s="7" t="s">
        <v>125</v>
      </c>
      <c r="H12" s="7"/>
    </row>
    <row r="13" spans="1:8" ht="36" customHeight="1" x14ac:dyDescent="0.25">
      <c r="A13" s="7" t="s">
        <v>126</v>
      </c>
      <c r="B13" s="7" t="s">
        <v>104</v>
      </c>
      <c r="C13" s="7" t="s">
        <v>127</v>
      </c>
      <c r="D13" s="7" t="s">
        <v>128</v>
      </c>
      <c r="E13" s="7" t="s">
        <v>129</v>
      </c>
      <c r="F13" s="8" t="s">
        <v>94</v>
      </c>
      <c r="G13" s="7" t="s">
        <v>72</v>
      </c>
      <c r="H13" s="7"/>
    </row>
  </sheetData>
  <dataValidations count="1">
    <dataValidation type="list" allowBlank="1" sqref="F5:F13" xr:uid="{00000000-0002-0000-0300-000000000000}">
      <formula1>"Sí,No,Parcial"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Accesos</vt:lpstr>
      <vt:lpstr>Checklist 30 días</vt:lpstr>
      <vt:lpstr>Banco de contenido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Gonzalo</cp:lastModifiedBy>
  <cp:revision>0</cp:revision>
  <dcterms:created xsi:type="dcterms:W3CDTF">2026-09-17T00:47:20Z</dcterms:created>
  <dcterms:modified xsi:type="dcterms:W3CDTF">2026-09-20T21:56:56Z</dcterms:modified>
  <dc:language>en-US</dc:language>
</cp:coreProperties>
</file>